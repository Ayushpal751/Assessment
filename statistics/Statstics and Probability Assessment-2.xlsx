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AYAL\Documents\Excel\"/>
    </mc:Choice>
  </mc:AlternateContent>
  <xr:revisionPtr revIDLastSave="0" documentId="8_{61DDD9FC-F5A6-498A-B4D3-0B78CA16624C}" xr6:coauthVersionLast="36" xr6:coauthVersionMax="36" xr10:uidLastSave="{00000000-0000-0000-0000-000000000000}"/>
  <bookViews>
    <workbookView xWindow="0" yWindow="0" windowWidth="19200" windowHeight="6930" xr2:uid="{053FC191-A5ED-4B5D-9133-B4DBB48BEC92}"/>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7" i="1" l="1"/>
  <c r="E48" i="1"/>
  <c r="D49" i="1"/>
  <c r="C49" i="1"/>
  <c r="E47" i="1"/>
  <c r="E49" i="1" l="1"/>
  <c r="C25" i="1"/>
  <c r="C19" i="1"/>
  <c r="E54" i="1" l="1"/>
  <c r="C55" i="1"/>
  <c r="E53" i="1"/>
  <c r="C54" i="1"/>
  <c r="C60" i="1" s="1"/>
  <c r="D55" i="1"/>
  <c r="E55" i="1"/>
  <c r="C53" i="1"/>
  <c r="C59" i="1" s="1"/>
  <c r="D53" i="1"/>
  <c r="D59" i="1" s="1"/>
  <c r="D54" i="1"/>
  <c r="D60" i="1" s="1"/>
  <c r="D66" i="1" s="1"/>
  <c r="C61" i="1" l="1"/>
  <c r="E59" i="1"/>
  <c r="C65" i="1"/>
  <c r="D65" i="1"/>
  <c r="D67" i="1" s="1"/>
  <c r="D61" i="1"/>
  <c r="C66" i="1"/>
  <c r="E66" i="1" s="1"/>
  <c r="E60" i="1"/>
  <c r="E61" i="1" l="1"/>
  <c r="E65" i="1"/>
  <c r="C67" i="1"/>
  <c r="E67" i="1" s="1"/>
</calcChain>
</file>

<file path=xl/sharedStrings.xml><?xml version="1.0" encoding="utf-8"?>
<sst xmlns="http://schemas.openxmlformats.org/spreadsheetml/2006/main" count="46" uniqueCount="23">
  <si>
    <t>Mean</t>
  </si>
  <si>
    <t xml:space="preserve">Standard Deviation </t>
  </si>
  <si>
    <t>Size</t>
  </si>
  <si>
    <t>Girls</t>
  </si>
  <si>
    <t>Boys</t>
  </si>
  <si>
    <t xml:space="preserve">Z critical </t>
  </si>
  <si>
    <t>Z test</t>
  </si>
  <si>
    <t>&lt;</t>
  </si>
  <si>
    <t xml:space="preserve"> </t>
  </si>
  <si>
    <t>Category</t>
  </si>
  <si>
    <t xml:space="preserve"> Diagnosed as Cancer </t>
  </si>
  <si>
    <t xml:space="preserve">Without Cancer </t>
  </si>
  <si>
    <t>Total</t>
  </si>
  <si>
    <t>Smokers</t>
  </si>
  <si>
    <t>Non- Smokers</t>
  </si>
  <si>
    <t>Ei</t>
  </si>
  <si>
    <t>(Oi-Ei)^2</t>
  </si>
  <si>
    <t>(Oi-Ei)^2/Ei</t>
  </si>
  <si>
    <t xml:space="preserve">χ² critical </t>
  </si>
  <si>
    <t>χ2 Test</t>
  </si>
  <si>
    <t>Decision:</t>
  </si>
  <si>
    <t>Z Test:</t>
  </si>
  <si>
    <t>Decision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</si>
</sst>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2" fontId="0" fillId="0" borderId="0" xfId="0" applyNumberFormat="1"/>
    <xf numFmtId="0" fontId="1"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16" xfId="0" applyFont="1" applyBorder="1"/>
    <xf numFmtId="0" fontId="1" fillId="0" borderId="16" xfId="0" applyFont="1" applyBorder="1" applyAlignment="1">
      <alignment horizontal="center"/>
    </xf>
    <xf numFmtId="2" fontId="0" fillId="0" borderId="17" xfId="0" applyNumberFormat="1" applyBorder="1" applyAlignment="1">
      <alignment horizontal="center"/>
    </xf>
    <xf numFmtId="0" fontId="0" fillId="0" borderId="17" xfId="0" applyBorder="1"/>
    <xf numFmtId="0" fontId="0" fillId="0" borderId="16" xfId="0" applyBorder="1"/>
    <xf numFmtId="0" fontId="2" fillId="0" borderId="2" xfId="0" applyFont="1" applyBorder="1" applyAlignment="1">
      <alignment horizontal="center"/>
    </xf>
    <xf numFmtId="2" fontId="0" fillId="0" borderId="9"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95250</xdr:rowOff>
    </xdr:from>
    <xdr:to>
      <xdr:col>15</xdr:col>
      <xdr:colOff>127000</xdr:colOff>
      <xdr:row>3</xdr:row>
      <xdr:rowOff>158750</xdr:rowOff>
    </xdr:to>
    <xdr:sp macro="" textlink="">
      <xdr:nvSpPr>
        <xdr:cNvPr id="2" name="TextBox 1">
          <a:extLst>
            <a:ext uri="{FF2B5EF4-FFF2-40B4-BE49-F238E27FC236}">
              <a16:creationId xmlns:a16="http://schemas.microsoft.com/office/drawing/2014/main" id="{27628350-F514-468B-A3C7-D0D65178A8F4}"/>
            </a:ext>
          </a:extLst>
        </xdr:cNvPr>
        <xdr:cNvSpPr txBox="1"/>
      </xdr:nvSpPr>
      <xdr:spPr>
        <a:xfrm>
          <a:off x="76200" y="95250"/>
          <a:ext cx="11049000" cy="6159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Question 1. There is an assumption that there is no significant difference between boys and girls with respect to intelligence. Tests are conducted on two groups and the following are the observations </a:t>
          </a:r>
        </a:p>
      </xdr:txBody>
    </xdr:sp>
    <xdr:clientData/>
  </xdr:twoCellAnchor>
  <xdr:twoCellAnchor>
    <xdr:from>
      <xdr:col>1</xdr:col>
      <xdr:colOff>0</xdr:colOff>
      <xdr:row>10</xdr:row>
      <xdr:rowOff>19050</xdr:rowOff>
    </xdr:from>
    <xdr:to>
      <xdr:col>10</xdr:col>
      <xdr:colOff>25400</xdr:colOff>
      <xdr:row>13</xdr:row>
      <xdr:rowOff>177800</xdr:rowOff>
    </xdr:to>
    <xdr:sp macro="" textlink="">
      <xdr:nvSpPr>
        <xdr:cNvPr id="3" name="TextBox 2">
          <a:extLst>
            <a:ext uri="{FF2B5EF4-FFF2-40B4-BE49-F238E27FC236}">
              <a16:creationId xmlns:a16="http://schemas.microsoft.com/office/drawing/2014/main" id="{F9452202-BA01-41D5-A2A3-FF640A161ECB}"/>
            </a:ext>
          </a:extLst>
        </xdr:cNvPr>
        <xdr:cNvSpPr txBox="1"/>
      </xdr:nvSpPr>
      <xdr:spPr>
        <a:xfrm>
          <a:off x="609600" y="1676400"/>
          <a:ext cx="6115050" cy="7112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H0 = </a:t>
          </a:r>
          <a:r>
            <a:rPr lang="en-IN" sz="1200">
              <a:solidFill>
                <a:schemeClr val="dk1"/>
              </a:solidFill>
              <a:effectLst/>
              <a:latin typeface="+mn-lt"/>
              <a:ea typeface="+mn-ea"/>
              <a:cs typeface="+mn-cs"/>
            </a:rPr>
            <a:t>There is no significant difference between boys and girls with respect to intelligence.</a:t>
          </a:r>
        </a:p>
        <a:p>
          <a:endParaRPr lang="en-IN"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H1 = There is significant difference between boys and girls with respect to intelligence.</a:t>
          </a:r>
          <a:endParaRPr lang="en-IN" sz="1200">
            <a:effectLst/>
          </a:endParaRPr>
        </a:p>
        <a:p>
          <a:endParaRPr lang="en-IN" sz="1200"/>
        </a:p>
      </xdr:txBody>
    </xdr:sp>
    <xdr:clientData/>
  </xdr:twoCellAnchor>
  <xdr:twoCellAnchor>
    <xdr:from>
      <xdr:col>1</xdr:col>
      <xdr:colOff>12700</xdr:colOff>
      <xdr:row>15</xdr:row>
      <xdr:rowOff>0</xdr:rowOff>
    </xdr:from>
    <xdr:to>
      <xdr:col>5</xdr:col>
      <xdr:colOff>69850</xdr:colOff>
      <xdr:row>16</xdr:row>
      <xdr:rowOff>95250</xdr:rowOff>
    </xdr:to>
    <xdr:sp macro="" textlink="">
      <xdr:nvSpPr>
        <xdr:cNvPr id="4" name="TextBox 3">
          <a:extLst>
            <a:ext uri="{FF2B5EF4-FFF2-40B4-BE49-F238E27FC236}">
              <a16:creationId xmlns:a16="http://schemas.microsoft.com/office/drawing/2014/main" id="{FFF63662-0B44-4CE1-8D19-AC8ECC0B31E5}"/>
            </a:ext>
          </a:extLst>
        </xdr:cNvPr>
        <xdr:cNvSpPr txBox="1"/>
      </xdr:nvSpPr>
      <xdr:spPr>
        <a:xfrm>
          <a:off x="622300" y="2578100"/>
          <a:ext cx="3098800" cy="2794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Level of Significance </a:t>
          </a:r>
          <a:r>
            <a:rPr lang="en-IN" sz="1200" b="0" i="0"/>
            <a:t>= 0.05</a:t>
          </a:r>
        </a:p>
      </xdr:txBody>
    </xdr:sp>
    <xdr:clientData/>
  </xdr:twoCellAnchor>
  <xdr:twoCellAnchor>
    <xdr:from>
      <xdr:col>0</xdr:col>
      <xdr:colOff>95250</xdr:colOff>
      <xdr:row>26</xdr:row>
      <xdr:rowOff>31750</xdr:rowOff>
    </xdr:from>
    <xdr:to>
      <xdr:col>9</xdr:col>
      <xdr:colOff>596900</xdr:colOff>
      <xdr:row>29</xdr:row>
      <xdr:rowOff>69850</xdr:rowOff>
    </xdr:to>
    <xdr:sp macro="" textlink="">
      <xdr:nvSpPr>
        <xdr:cNvPr id="6" name="TextBox 5">
          <a:extLst>
            <a:ext uri="{FF2B5EF4-FFF2-40B4-BE49-F238E27FC236}">
              <a16:creationId xmlns:a16="http://schemas.microsoft.com/office/drawing/2014/main" id="{B03AE39C-EF6D-40E4-9214-E33E043BDB92}"/>
            </a:ext>
          </a:extLst>
        </xdr:cNvPr>
        <xdr:cNvSpPr txBox="1"/>
      </xdr:nvSpPr>
      <xdr:spPr>
        <a:xfrm>
          <a:off x="95250" y="4635500"/>
          <a:ext cx="7842250" cy="5905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a:t>Here,</a:t>
          </a:r>
          <a:r>
            <a:rPr lang="en-IN" sz="1400" baseline="0"/>
            <a:t> </a:t>
          </a:r>
          <a:r>
            <a:rPr lang="en-IN" sz="1400"/>
            <a:t>Z critical value is less than Z calculated value, so we reject the null hypothesis. Therefore, there is a significant difference between boys and girls with respect to intelligence.</a:t>
          </a:r>
        </a:p>
      </xdr:txBody>
    </xdr:sp>
    <xdr:clientData/>
  </xdr:twoCellAnchor>
  <xdr:twoCellAnchor>
    <xdr:from>
      <xdr:col>0</xdr:col>
      <xdr:colOff>114300</xdr:colOff>
      <xdr:row>33</xdr:row>
      <xdr:rowOff>139700</xdr:rowOff>
    </xdr:from>
    <xdr:to>
      <xdr:col>13</xdr:col>
      <xdr:colOff>273050</xdr:colOff>
      <xdr:row>35</xdr:row>
      <xdr:rowOff>120650</xdr:rowOff>
    </xdr:to>
    <xdr:sp macro="" textlink="">
      <xdr:nvSpPr>
        <xdr:cNvPr id="7" name="TextBox 6">
          <a:extLst>
            <a:ext uri="{FF2B5EF4-FFF2-40B4-BE49-F238E27FC236}">
              <a16:creationId xmlns:a16="http://schemas.microsoft.com/office/drawing/2014/main" id="{61A49715-65E1-48C7-B184-DACCDB6824D2}"/>
            </a:ext>
          </a:extLst>
        </xdr:cNvPr>
        <xdr:cNvSpPr txBox="1"/>
      </xdr:nvSpPr>
      <xdr:spPr>
        <a:xfrm>
          <a:off x="114300" y="6057900"/>
          <a:ext cx="9937750" cy="3492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Question 2. Analyze the below data and tell whether you can conclude that smoking causes cancer or not? </a:t>
          </a:r>
        </a:p>
      </xdr:txBody>
    </xdr:sp>
    <xdr:clientData/>
  </xdr:twoCellAnchor>
  <xdr:twoCellAnchor>
    <xdr:from>
      <xdr:col>1</xdr:col>
      <xdr:colOff>12700</xdr:colOff>
      <xdr:row>68</xdr:row>
      <xdr:rowOff>31750</xdr:rowOff>
    </xdr:from>
    <xdr:to>
      <xdr:col>6</xdr:col>
      <xdr:colOff>107950</xdr:colOff>
      <xdr:row>71</xdr:row>
      <xdr:rowOff>171450</xdr:rowOff>
    </xdr:to>
    <xdr:sp macro="" textlink="">
      <xdr:nvSpPr>
        <xdr:cNvPr id="8" name="TextBox 7">
          <a:extLst>
            <a:ext uri="{FF2B5EF4-FFF2-40B4-BE49-F238E27FC236}">
              <a16:creationId xmlns:a16="http://schemas.microsoft.com/office/drawing/2014/main" id="{7A522DB0-815E-4BDF-AC30-59617CBF57BC}"/>
            </a:ext>
          </a:extLst>
        </xdr:cNvPr>
        <xdr:cNvSpPr txBox="1"/>
      </xdr:nvSpPr>
      <xdr:spPr>
        <a:xfrm>
          <a:off x="622300" y="11633200"/>
          <a:ext cx="4997450" cy="6921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Degrees of freedom: df=(2−1)(2−1)=1</a:t>
          </a:r>
        </a:p>
        <a:p>
          <a:endParaRPr lang="en-IN" sz="1200"/>
        </a:p>
        <a:p>
          <a:r>
            <a:rPr lang="en-IN" sz="1200"/>
            <a:t>At 5% level:</a:t>
          </a:r>
          <a:r>
            <a:rPr lang="en-IN" sz="1200" baseline="0"/>
            <a:t> </a:t>
          </a:r>
          <a:r>
            <a:rPr lang="en-IN" sz="1200"/>
            <a:t> </a:t>
          </a:r>
          <a:r>
            <a:rPr lang="el-GR" sz="1200" b="0"/>
            <a:t>χ² </a:t>
          </a:r>
          <a:r>
            <a:rPr lang="en-IN" sz="1200" b="0"/>
            <a:t>critical = 3.84</a:t>
          </a:r>
        </a:p>
      </xdr:txBody>
    </xdr:sp>
    <xdr:clientData/>
  </xdr:twoCellAnchor>
  <xdr:twoCellAnchor>
    <xdr:from>
      <xdr:col>1</xdr:col>
      <xdr:colOff>12700</xdr:colOff>
      <xdr:row>37</xdr:row>
      <xdr:rowOff>12700</xdr:rowOff>
    </xdr:from>
    <xdr:to>
      <xdr:col>10</xdr:col>
      <xdr:colOff>38100</xdr:colOff>
      <xdr:row>40</xdr:row>
      <xdr:rowOff>171450</xdr:rowOff>
    </xdr:to>
    <xdr:sp macro="" textlink="">
      <xdr:nvSpPr>
        <xdr:cNvPr id="9" name="TextBox 8">
          <a:extLst>
            <a:ext uri="{FF2B5EF4-FFF2-40B4-BE49-F238E27FC236}">
              <a16:creationId xmlns:a16="http://schemas.microsoft.com/office/drawing/2014/main" id="{BCD1B9EB-8FDB-4123-9D1F-FFD37B9C45A5}"/>
            </a:ext>
          </a:extLst>
        </xdr:cNvPr>
        <xdr:cNvSpPr txBox="1"/>
      </xdr:nvSpPr>
      <xdr:spPr>
        <a:xfrm>
          <a:off x="622300" y="6642100"/>
          <a:ext cx="7366000" cy="7112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H0 = </a:t>
          </a:r>
          <a:r>
            <a:rPr lang="en-IN" sz="1200">
              <a:solidFill>
                <a:schemeClr val="dk1"/>
              </a:solidFill>
              <a:effectLst/>
              <a:latin typeface="+mn-lt"/>
              <a:ea typeface="+mn-ea"/>
              <a:cs typeface="+mn-cs"/>
            </a:rPr>
            <a:t>There is no relationship</a:t>
          </a:r>
          <a:r>
            <a:rPr lang="en-IN" sz="1200" baseline="0">
              <a:solidFill>
                <a:schemeClr val="dk1"/>
              </a:solidFill>
              <a:effectLst/>
              <a:latin typeface="+mn-lt"/>
              <a:ea typeface="+mn-ea"/>
              <a:cs typeface="+mn-cs"/>
            </a:rPr>
            <a:t> between smoking and cancer.</a:t>
          </a:r>
          <a:endParaRPr lang="en-IN" sz="1200">
            <a:solidFill>
              <a:schemeClr val="dk1"/>
            </a:solidFill>
            <a:effectLst/>
            <a:latin typeface="+mn-lt"/>
            <a:ea typeface="+mn-ea"/>
            <a:cs typeface="+mn-cs"/>
          </a:endParaRPr>
        </a:p>
        <a:p>
          <a:endParaRPr lang="en-IN"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H1 = There is</a:t>
          </a:r>
          <a:r>
            <a:rPr lang="en-IN" sz="1200" baseline="0">
              <a:solidFill>
                <a:schemeClr val="dk1"/>
              </a:solidFill>
              <a:effectLst/>
              <a:latin typeface="+mn-lt"/>
              <a:ea typeface="+mn-ea"/>
              <a:cs typeface="+mn-cs"/>
            </a:rPr>
            <a:t> </a:t>
          </a:r>
          <a:r>
            <a:rPr lang="en-IN" sz="1200">
              <a:solidFill>
                <a:schemeClr val="dk1"/>
              </a:solidFill>
              <a:effectLst/>
              <a:latin typeface="+mn-lt"/>
              <a:ea typeface="+mn-ea"/>
              <a:cs typeface="+mn-cs"/>
            </a:rPr>
            <a:t>relationship</a:t>
          </a:r>
          <a:r>
            <a:rPr lang="en-IN" sz="1200" baseline="0">
              <a:solidFill>
                <a:schemeClr val="dk1"/>
              </a:solidFill>
              <a:effectLst/>
              <a:latin typeface="+mn-lt"/>
              <a:ea typeface="+mn-ea"/>
              <a:cs typeface="+mn-cs"/>
            </a:rPr>
            <a:t> between smoking and cancer.</a:t>
          </a:r>
          <a:endParaRPr lang="en-IN"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p>
      </xdr:txBody>
    </xdr:sp>
    <xdr:clientData/>
  </xdr:twoCellAnchor>
  <xdr:twoCellAnchor>
    <xdr:from>
      <xdr:col>0</xdr:col>
      <xdr:colOff>146050</xdr:colOff>
      <xdr:row>77</xdr:row>
      <xdr:rowOff>152400</xdr:rowOff>
    </xdr:from>
    <xdr:to>
      <xdr:col>10</xdr:col>
      <xdr:colOff>38100</xdr:colOff>
      <xdr:row>81</xdr:row>
      <xdr:rowOff>6350</xdr:rowOff>
    </xdr:to>
    <xdr:sp macro="" textlink="">
      <xdr:nvSpPr>
        <xdr:cNvPr id="10" name="TextBox 9">
          <a:extLst>
            <a:ext uri="{FF2B5EF4-FFF2-40B4-BE49-F238E27FC236}">
              <a16:creationId xmlns:a16="http://schemas.microsoft.com/office/drawing/2014/main" id="{8456D736-B91C-40B4-8827-D3B3A6C4B4A5}"/>
            </a:ext>
          </a:extLst>
        </xdr:cNvPr>
        <xdr:cNvSpPr txBox="1"/>
      </xdr:nvSpPr>
      <xdr:spPr>
        <a:xfrm>
          <a:off x="146050" y="14478000"/>
          <a:ext cx="7842250" cy="5905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Here,</a:t>
          </a:r>
          <a:r>
            <a:rPr lang="en-IN" sz="1400" baseline="0"/>
            <a:t> </a:t>
          </a:r>
          <a:r>
            <a:rPr lang="el-GR" sz="1400" baseline="0"/>
            <a:t>χ²</a:t>
          </a:r>
          <a:r>
            <a:rPr lang="en-IN" sz="1400"/>
            <a:t> critical value is less than </a:t>
          </a:r>
          <a:r>
            <a:rPr lang="el-GR" sz="1400"/>
            <a:t>χ²</a:t>
          </a:r>
          <a:r>
            <a:rPr lang="en-US" sz="1400"/>
            <a:t> </a:t>
          </a:r>
          <a:r>
            <a:rPr lang="en-IN" sz="1400"/>
            <a:t>calculated value, so we reject the null hypothesis. Therefore, </a:t>
          </a:r>
          <a:r>
            <a:rPr lang="en-IN" sz="1400">
              <a:solidFill>
                <a:schemeClr val="dk1"/>
              </a:solidFill>
              <a:effectLst/>
              <a:latin typeface="+mn-lt"/>
              <a:ea typeface="+mn-ea"/>
              <a:cs typeface="+mn-cs"/>
            </a:rPr>
            <a:t>There is  relationship</a:t>
          </a:r>
          <a:r>
            <a:rPr lang="en-IN" sz="1400" baseline="0">
              <a:solidFill>
                <a:schemeClr val="dk1"/>
              </a:solidFill>
              <a:effectLst/>
              <a:latin typeface="+mn-lt"/>
              <a:ea typeface="+mn-ea"/>
              <a:cs typeface="+mn-cs"/>
            </a:rPr>
            <a:t> between smoking and cancer.</a:t>
          </a:r>
          <a:endParaRPr lang="en-IN" sz="1400">
            <a:effectLst/>
          </a:endParaRPr>
        </a:p>
        <a:p>
          <a:endParaRPr lang="en-IN" sz="1400"/>
        </a:p>
      </xdr:txBody>
    </xdr:sp>
    <xdr:clientData/>
  </xdr:twoCellAnchor>
  <xdr:twoCellAnchor>
    <xdr:from>
      <xdr:col>1</xdr:col>
      <xdr:colOff>19050</xdr:colOff>
      <xdr:row>41</xdr:row>
      <xdr:rowOff>158750</xdr:rowOff>
    </xdr:from>
    <xdr:to>
      <xdr:col>5</xdr:col>
      <xdr:colOff>76200</xdr:colOff>
      <xdr:row>43</xdr:row>
      <xdr:rowOff>133350</xdr:rowOff>
    </xdr:to>
    <xdr:sp macro="" textlink="">
      <xdr:nvSpPr>
        <xdr:cNvPr id="11" name="TextBox 10">
          <a:extLst>
            <a:ext uri="{FF2B5EF4-FFF2-40B4-BE49-F238E27FC236}">
              <a16:creationId xmlns:a16="http://schemas.microsoft.com/office/drawing/2014/main" id="{7979C7F4-73BA-4C25-BA98-6ADDA6B8A72C}"/>
            </a:ext>
          </a:extLst>
        </xdr:cNvPr>
        <xdr:cNvSpPr txBox="1"/>
      </xdr:nvSpPr>
      <xdr:spPr>
        <a:xfrm>
          <a:off x="628650" y="7524750"/>
          <a:ext cx="4349750" cy="3429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Level of Significance </a:t>
          </a:r>
          <a:r>
            <a:rPr lang="en-IN" sz="1200" b="0" i="0"/>
            <a:t>= 0.05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0FFA-1A8F-450B-8B48-3B9E99F570B6}">
  <dimension ref="B6:G77"/>
  <sheetViews>
    <sheetView tabSelected="1" workbookViewId="0">
      <selection activeCell="H7" sqref="H7"/>
    </sheetView>
  </sheetViews>
  <sheetFormatPr defaultRowHeight="14.5" x14ac:dyDescent="0.35"/>
  <cols>
    <col min="2" max="2" width="12.453125" bestFit="1" customWidth="1"/>
    <col min="3" max="3" width="19.1796875" bestFit="1" customWidth="1"/>
    <col min="4" max="4" width="17.453125" bestFit="1" customWidth="1"/>
    <col min="5" max="5" width="12.36328125" bestFit="1" customWidth="1"/>
  </cols>
  <sheetData>
    <row r="6" spans="2:5" ht="15" thickBot="1" x14ac:dyDescent="0.4"/>
    <row r="7" spans="2:5" x14ac:dyDescent="0.35">
      <c r="B7" s="4"/>
      <c r="C7" s="5" t="s">
        <v>0</v>
      </c>
      <c r="D7" s="5" t="s">
        <v>1</v>
      </c>
      <c r="E7" s="6" t="s">
        <v>2</v>
      </c>
    </row>
    <row r="8" spans="2:5" x14ac:dyDescent="0.35">
      <c r="B8" s="7" t="s">
        <v>3</v>
      </c>
      <c r="C8" s="1">
        <v>89</v>
      </c>
      <c r="D8" s="1">
        <v>4</v>
      </c>
      <c r="E8" s="8">
        <v>50</v>
      </c>
    </row>
    <row r="9" spans="2:5" ht="15" thickBot="1" x14ac:dyDescent="0.4">
      <c r="B9" s="9" t="s">
        <v>4</v>
      </c>
      <c r="C9" s="10">
        <v>82</v>
      </c>
      <c r="D9" s="10">
        <v>9</v>
      </c>
      <c r="E9" s="11">
        <v>120</v>
      </c>
    </row>
    <row r="18" spans="2:4" ht="15" thickBot="1" x14ac:dyDescent="0.4"/>
    <row r="19" spans="2:4" ht="15" thickBot="1" x14ac:dyDescent="0.4">
      <c r="B19" s="19" t="s">
        <v>21</v>
      </c>
      <c r="C19" s="20">
        <f xml:space="preserve"> (89-82)/SQRT((4^2/50)+(9^2/120))</f>
        <v>7.0175658996391963</v>
      </c>
    </row>
    <row r="22" spans="2:4" x14ac:dyDescent="0.35">
      <c r="B22" s="3" t="s">
        <v>5</v>
      </c>
      <c r="C22" s="1"/>
      <c r="D22" s="3" t="s">
        <v>6</v>
      </c>
    </row>
    <row r="23" spans="2:4" x14ac:dyDescent="0.35">
      <c r="B23" s="1">
        <v>1.96</v>
      </c>
      <c r="C23" s="1" t="s">
        <v>7</v>
      </c>
      <c r="D23" s="1">
        <v>7.02</v>
      </c>
    </row>
    <row r="24" spans="2:4" ht="15" thickBot="1" x14ac:dyDescent="0.4"/>
    <row r="25" spans="2:4" ht="15" thickBot="1" x14ac:dyDescent="0.4">
      <c r="B25" s="18" t="s">
        <v>22</v>
      </c>
      <c r="C25" s="21" t="str">
        <f>IF(C19&gt;1.96,"Reject H0","Fail to reject H0")</f>
        <v>Reject H0</v>
      </c>
    </row>
    <row r="27" spans="2:4" x14ac:dyDescent="0.35">
      <c r="B27" t="s">
        <v>8</v>
      </c>
    </row>
    <row r="45" spans="2:5" ht="15" thickBot="1" x14ac:dyDescent="0.4"/>
    <row r="46" spans="2:5" x14ac:dyDescent="0.35">
      <c r="B46" s="4" t="s">
        <v>9</v>
      </c>
      <c r="C46" s="5" t="s">
        <v>10</v>
      </c>
      <c r="D46" s="5" t="s">
        <v>11</v>
      </c>
      <c r="E46" s="6" t="s">
        <v>12</v>
      </c>
    </row>
    <row r="47" spans="2:5" x14ac:dyDescent="0.35">
      <c r="B47" s="7" t="s">
        <v>13</v>
      </c>
      <c r="C47" s="1">
        <v>220</v>
      </c>
      <c r="D47" s="1">
        <v>230</v>
      </c>
      <c r="E47" s="8">
        <f>C47+D47</f>
        <v>450</v>
      </c>
    </row>
    <row r="48" spans="2:5" x14ac:dyDescent="0.35">
      <c r="B48" s="7" t="s">
        <v>14</v>
      </c>
      <c r="C48" s="1">
        <v>350</v>
      </c>
      <c r="D48" s="1">
        <v>640</v>
      </c>
      <c r="E48" s="8">
        <f t="shared" ref="E48:E49" si="0">C48+D48</f>
        <v>990</v>
      </c>
    </row>
    <row r="49" spans="2:7" ht="15" thickBot="1" x14ac:dyDescent="0.4">
      <c r="B49" s="9" t="s">
        <v>12</v>
      </c>
      <c r="C49" s="10">
        <f>C47+C48</f>
        <v>570</v>
      </c>
      <c r="D49" s="10">
        <f t="shared" ref="D49" si="1">D47+D48</f>
        <v>870</v>
      </c>
      <c r="E49" s="11">
        <f t="shared" si="0"/>
        <v>1440</v>
      </c>
    </row>
    <row r="50" spans="2:7" ht="15" thickBot="1" x14ac:dyDescent="0.4"/>
    <row r="51" spans="2:7" ht="15" thickBot="1" x14ac:dyDescent="0.4">
      <c r="B51" s="15" t="s">
        <v>15</v>
      </c>
      <c r="C51" s="16"/>
      <c r="D51" s="16"/>
      <c r="E51" s="17"/>
    </row>
    <row r="52" spans="2:7" x14ac:dyDescent="0.35">
      <c r="B52" s="12" t="s">
        <v>9</v>
      </c>
      <c r="C52" s="13" t="s">
        <v>10</v>
      </c>
      <c r="D52" s="13" t="s">
        <v>11</v>
      </c>
      <c r="E52" s="14" t="s">
        <v>12</v>
      </c>
    </row>
    <row r="53" spans="2:7" x14ac:dyDescent="0.35">
      <c r="B53" s="7" t="s">
        <v>13</v>
      </c>
      <c r="C53" s="1">
        <f>($E47*C$49)/$E$49</f>
        <v>178.125</v>
      </c>
      <c r="D53" s="1">
        <f t="shared" ref="D53:E53" si="2">($E47*D$49)/$E$49</f>
        <v>271.875</v>
      </c>
      <c r="E53" s="8">
        <f t="shared" si="2"/>
        <v>450</v>
      </c>
      <c r="G53" s="2"/>
    </row>
    <row r="54" spans="2:7" x14ac:dyDescent="0.35">
      <c r="B54" s="7" t="s">
        <v>14</v>
      </c>
      <c r="C54" s="1">
        <f t="shared" ref="C54:E54" si="3">($E48*C$49)/$E$49</f>
        <v>391.875</v>
      </c>
      <c r="D54" s="1">
        <f t="shared" si="3"/>
        <v>598.125</v>
      </c>
      <c r="E54" s="8">
        <f t="shared" si="3"/>
        <v>990</v>
      </c>
    </row>
    <row r="55" spans="2:7" ht="15" thickBot="1" x14ac:dyDescent="0.4">
      <c r="B55" s="9" t="s">
        <v>12</v>
      </c>
      <c r="C55" s="10">
        <f t="shared" ref="C55:E55" si="4">($E49*C$49)/$E$49</f>
        <v>570</v>
      </c>
      <c r="D55" s="10">
        <f t="shared" si="4"/>
        <v>870</v>
      </c>
      <c r="E55" s="11">
        <f t="shared" si="4"/>
        <v>1440</v>
      </c>
      <c r="G55" s="2"/>
    </row>
    <row r="56" spans="2:7" ht="15" thickBot="1" x14ac:dyDescent="0.4">
      <c r="C56" s="2"/>
      <c r="D56" s="2"/>
      <c r="E56" s="2"/>
    </row>
    <row r="57" spans="2:7" ht="15" thickBot="1" x14ac:dyDescent="0.4">
      <c r="B57" s="15" t="s">
        <v>16</v>
      </c>
      <c r="C57" s="16"/>
      <c r="D57" s="16"/>
      <c r="E57" s="17"/>
    </row>
    <row r="58" spans="2:7" x14ac:dyDescent="0.35">
      <c r="B58" s="12" t="s">
        <v>9</v>
      </c>
      <c r="C58" s="13" t="s">
        <v>10</v>
      </c>
      <c r="D58" s="13" t="s">
        <v>11</v>
      </c>
      <c r="E58" s="14" t="s">
        <v>12</v>
      </c>
    </row>
    <row r="59" spans="2:7" x14ac:dyDescent="0.35">
      <c r="B59" s="7" t="s">
        <v>13</v>
      </c>
      <c r="C59" s="1">
        <f>(C47-C53)^2</f>
        <v>1753.515625</v>
      </c>
      <c r="D59" s="1">
        <f t="shared" ref="D59" si="5">(D47-D53)^2</f>
        <v>1753.515625</v>
      </c>
      <c r="E59" s="8">
        <f>C59+D59</f>
        <v>3507.03125</v>
      </c>
    </row>
    <row r="60" spans="2:7" x14ac:dyDescent="0.35">
      <c r="B60" s="7" t="s">
        <v>14</v>
      </c>
      <c r="C60" s="1">
        <f t="shared" ref="C60:D60" si="6">(C48-C54)^2</f>
        <v>1753.515625</v>
      </c>
      <c r="D60" s="1">
        <f t="shared" si="6"/>
        <v>1753.515625</v>
      </c>
      <c r="E60" s="8">
        <f t="shared" ref="E60" si="7">C60+D60</f>
        <v>3507.03125</v>
      </c>
    </row>
    <row r="61" spans="2:7" ht="15" thickBot="1" x14ac:dyDescent="0.4">
      <c r="B61" s="9" t="s">
        <v>12</v>
      </c>
      <c r="C61" s="10">
        <f>C59+C60</f>
        <v>3507.03125</v>
      </c>
      <c r="D61" s="10">
        <f t="shared" ref="D61:E61" si="8">D59+D60</f>
        <v>3507.03125</v>
      </c>
      <c r="E61" s="11">
        <f t="shared" si="8"/>
        <v>7014.0625</v>
      </c>
    </row>
    <row r="62" spans="2:7" ht="15" thickBot="1" x14ac:dyDescent="0.4"/>
    <row r="63" spans="2:7" ht="15" thickBot="1" x14ac:dyDescent="0.4">
      <c r="B63" s="15" t="s">
        <v>17</v>
      </c>
      <c r="C63" s="16"/>
      <c r="D63" s="16"/>
      <c r="E63" s="17"/>
    </row>
    <row r="64" spans="2:7" x14ac:dyDescent="0.35">
      <c r="B64" s="12" t="s">
        <v>9</v>
      </c>
      <c r="C64" s="13" t="s">
        <v>10</v>
      </c>
      <c r="D64" s="13" t="s">
        <v>11</v>
      </c>
      <c r="E64" s="14" t="s">
        <v>12</v>
      </c>
    </row>
    <row r="65" spans="2:5" x14ac:dyDescent="0.35">
      <c r="B65" s="7" t="s">
        <v>13</v>
      </c>
      <c r="C65" s="1">
        <f>C59/C53</f>
        <v>9.8442982456140342</v>
      </c>
      <c r="D65" s="1">
        <f t="shared" ref="D65" si="9">D59/D53</f>
        <v>6.4497126436781613</v>
      </c>
      <c r="E65" s="8">
        <f>C65+D65</f>
        <v>16.294010889292196</v>
      </c>
    </row>
    <row r="66" spans="2:5" x14ac:dyDescent="0.35">
      <c r="B66" s="7" t="s">
        <v>14</v>
      </c>
      <c r="C66" s="1">
        <f t="shared" ref="C66:D66" si="10">C60/C54</f>
        <v>4.4746810207336525</v>
      </c>
      <c r="D66" s="1">
        <f t="shared" si="10"/>
        <v>2.931687565308255</v>
      </c>
      <c r="E66" s="8">
        <f t="shared" ref="E66:E67" si="11">C66+D66</f>
        <v>7.4063685860419071</v>
      </c>
    </row>
    <row r="67" spans="2:5" ht="15" thickBot="1" x14ac:dyDescent="0.4">
      <c r="B67" s="9" t="s">
        <v>12</v>
      </c>
      <c r="C67" s="10">
        <f>C65+C66</f>
        <v>14.318979266347686</v>
      </c>
      <c r="D67" s="10">
        <f>D65+D66</f>
        <v>9.3814002089864168</v>
      </c>
      <c r="E67" s="11">
        <f t="shared" si="11"/>
        <v>23.700379475334103</v>
      </c>
    </row>
    <row r="73" spans="2:5" ht="15" thickBot="1" x14ac:dyDescent="0.4"/>
    <row r="74" spans="2:5" ht="15.5" x14ac:dyDescent="0.35">
      <c r="B74" s="23" t="s">
        <v>18</v>
      </c>
      <c r="C74" s="5"/>
      <c r="D74" s="6" t="s">
        <v>19</v>
      </c>
    </row>
    <row r="75" spans="2:5" ht="15" thickBot="1" x14ac:dyDescent="0.4">
      <c r="B75" s="9">
        <v>3.84</v>
      </c>
      <c r="C75" s="10" t="s">
        <v>7</v>
      </c>
      <c r="D75" s="24">
        <v>23.7</v>
      </c>
    </row>
    <row r="76" spans="2:5" ht="15" thickBot="1" x14ac:dyDescent="0.4"/>
    <row r="77" spans="2:5" ht="15" thickBot="1" x14ac:dyDescent="0.4">
      <c r="B77" s="22" t="s">
        <v>20</v>
      </c>
      <c r="C77" s="21" t="str">
        <f>IF(D75&gt;3.84,"Reject H0","Fail to reject H0")</f>
        <v>Reject H0</v>
      </c>
    </row>
  </sheetData>
  <mergeCells count="3">
    <mergeCell ref="B51:E51"/>
    <mergeCell ref="B57:E57"/>
    <mergeCell ref="B63:E6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Sarika</dc:creator>
  <cp:lastModifiedBy>Sarika</cp:lastModifiedBy>
  <dcterms:created xsi:type="dcterms:W3CDTF">2026-03-26T05:23:09Z</dcterms:created>
  <dcterms:modified xsi:type="dcterms:W3CDTF">2026-03-26T07:18:56Z</dcterms:modified>
</cp:coreProperties>
</file>